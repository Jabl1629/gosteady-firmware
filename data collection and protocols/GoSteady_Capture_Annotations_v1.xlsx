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tures" sheetId="1" state="visible" r:id="rId3"/>
    <sheet name="Legend" sheetId="2" state="visible" r:id="rId4"/>
    <sheet name="Vocabulari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GoSteady</author>
  </authors>
  <commentList>
    <comment ref="A2" authorId="0">
      <text>
        <r>
          <rPr>
            <sz val="10"/>
            <rFont val="Arial"/>
            <family val="2"/>
          </rPr>
          <t xml:space="preserve">Primary key. UUIDv4 generated by firmware at session start.</t>
        </r>
      </text>
    </comment>
    <comment ref="B2" authorId="0">
      <text>
        <r>
          <rPr>
            <sz val="10"/>
            <rFont val="Arial"/>
            <family val="2"/>
          </rPr>
          <t xml:space="preserve">Thingy:91 X serial / board ID.</t>
        </r>
      </text>
    </comment>
    <comment ref="C2" authorId="0">
      <text>
        <r>
          <rPr>
            <sz val="10"/>
            <rFont val="Arial"/>
            <family val="2"/>
          </rPr>
          <t xml:space="preserve">Semver string baked into build.</t>
        </r>
      </text>
    </comment>
    <comment ref="D2" authorId="0">
      <text>
        <r>
          <rPr>
            <sz val="10"/>
            <rFont val="Arial"/>
            <family val="2"/>
          </rPr>
          <t xml:space="preserve">Which IMU the samples came from (BMI270 / ADXL367).</t>
        </r>
      </text>
    </comment>
    <comment ref="E2" authorId="0">
      <text>
        <r>
          <rPr>
            <sz val="10"/>
            <rFont val="Arial"/>
            <family val="2"/>
          </rPr>
          <t xml:space="preserve">Configured ODR for this session.</t>
        </r>
      </text>
    </comment>
    <comment ref="F2" authorId="0">
      <text>
        <r>
          <rPr>
            <sz val="10"/>
            <rFont val="Arial"/>
            <family val="2"/>
          </rPr>
          <t xml:space="preserve">Full-scale accel range.</t>
        </r>
      </text>
    </comment>
    <comment ref="G2" authorId="0">
      <text>
        <r>
          <rPr>
            <sz val="10"/>
            <rFont val="Arial"/>
            <family val="2"/>
          </rPr>
          <t xml:space="preserve">Full-scale gyro range.</t>
        </r>
      </text>
    </comment>
    <comment ref="H2" authorId="0">
      <text>
        <r>
          <rPr>
            <sz val="10"/>
            <rFont val="Arial"/>
            <family val="2"/>
          </rPr>
          <t xml:space="preserve">RTC timestamp at session start.</t>
        </r>
      </text>
    </comment>
    <comment ref="I2" authorId="0">
      <text>
        <r>
          <rPr>
            <sz val="10"/>
            <rFont val="Arial"/>
            <family val="2"/>
          </rPr>
          <t xml:space="preserve">RTC timestamp at session end.</t>
        </r>
      </text>
    </comment>
    <comment ref="J2" authorId="0">
      <text>
        <r>
          <rPr>
            <sz val="10"/>
            <rFont val="Arial"/>
            <family val="2"/>
          </rPr>
          <t xml:space="preserve">Total samples written.</t>
        </r>
      </text>
    </comment>
    <comment ref="K2" authorId="0">
      <text>
        <r>
          <rPr>
            <sz val="10"/>
            <rFont val="Arial"/>
            <family val="2"/>
          </rPr>
          <t xml:space="preserve">Battery voltage at session start.</t>
        </r>
      </text>
    </comment>
    <comment ref="L2" authorId="0">
      <text>
        <r>
          <rPr>
            <sz val="10"/>
            <rFont val="Arial"/>
            <family val="2"/>
          </rPr>
          <t xml:space="preserve">Battery voltage at session end.</t>
        </r>
      </text>
    </comment>
    <comment ref="M2" authorId="0">
      <text>
        <r>
          <rPr>
            <sz val="10"/>
            <rFont val="Arial"/>
            <family val="2"/>
          </rPr>
          <t xml:space="preserve">Non-zero = data integrity suspect.</t>
        </r>
      </text>
    </comment>
    <comment ref="N2" authorId="0">
      <text>
        <r>
          <rPr>
            <sz val="10"/>
            <rFont val="Arial"/>
            <family val="2"/>
          </rPr>
          <t xml:space="preserve">Anonymized subject code.</t>
        </r>
      </text>
    </comment>
    <comment ref="O2" authorId="0">
      <text>
        <r>
          <rPr>
            <sz val="10"/>
            <rFont val="Arial"/>
            <family val="2"/>
          </rPr>
          <t xml:space="preserve">standard (no wheels) or two_wheel (front wheels, rear glides).</t>
        </r>
      </text>
    </comment>
    <comment ref="P2" authorId="0">
      <text>
        <r>
          <rPr>
            <sz val="10"/>
            <rFont val="Arial"/>
            <family val="2"/>
          </rPr>
          <t xml:space="preserve">tacky (for standard walkers) or glide (for 2-wheeled walkers).</t>
        </r>
      </text>
    </comment>
    <comment ref="Q2" authorId="0">
      <text>
        <r>
          <rPr>
            <sz val="10"/>
            <rFont val="Arial"/>
            <family val="2"/>
          </rPr>
          <t xml:space="preserve">Walker brand/model identifier.</t>
        </r>
      </text>
    </comment>
    <comment ref="R2" authorId="0">
      <text>
        <r>
          <rPr>
            <sz val="10"/>
            <rFont val="Arial"/>
            <family val="2"/>
          </rPr>
          <t xml:space="preserve">Where on the walker the cap is mounted (front_left, etc).</t>
        </r>
      </text>
    </comment>
    <comment ref="S2" authorId="0">
      <text>
        <r>
          <rPr>
            <sz val="10"/>
            <rFont val="Arial"/>
            <family val="2"/>
          </rPr>
          <t xml:space="preserve">Named physical course / path.</t>
        </r>
      </text>
    </comment>
    <comment ref="T2" authorId="0">
      <text>
        <r>
          <rPr>
            <sz val="10"/>
            <rFont val="Arial"/>
            <family val="2"/>
          </rPr>
          <t xml:space="preserve">Tape-measured course length.</t>
        </r>
      </text>
    </comment>
    <comment ref="U2" authorId="0">
      <text>
        <r>
          <rPr>
            <sz val="10"/>
            <rFont val="Arial"/>
            <family val="2"/>
          </rPr>
          <t xml:space="preserve">Controlled vocab — see Vocabularies sheet.</t>
        </r>
      </text>
    </comment>
    <comment ref="V2" authorId="0">
      <text>
        <r>
          <rPr>
            <sz val="10"/>
            <rFont val="Arial"/>
            <family val="2"/>
          </rPr>
          <t xml:space="preserve">slow / normal / fast.</t>
        </r>
      </text>
    </comment>
    <comment ref="W2" authorId="0">
      <text>
        <r>
          <rPr>
            <sz val="10"/>
            <rFont val="Arial"/>
            <family val="2"/>
          </rPr>
          <t xml:space="preserve">straight / turn_left / turn_right / s_curve / pivot.</t>
        </r>
      </text>
    </comment>
    <comment ref="X2" authorId="0">
      <text>
        <r>
          <rPr>
            <sz val="10"/>
            <rFont val="Arial"/>
            <family val="2"/>
          </rPr>
          <t xml:space="preserve">normal / stumble / pickup / ... See Vocabularies.</t>
        </r>
      </text>
    </comment>
    <comment ref="Y2" authorId="0">
      <text>
        <r>
          <rPr>
            <sz val="10"/>
            <rFont val="Arial"/>
            <family val="2"/>
          </rPr>
          <t xml:space="preserve">Who ran the session.</t>
        </r>
      </text>
    </comment>
    <comment ref="Z2" authorId="0">
      <text>
        <r>
          <rPr>
            <sz val="10"/>
            <rFont val="Arial"/>
            <family val="2"/>
          </rPr>
          <t xml:space="preserve">Y/N — did the run complete cleanly?</t>
        </r>
      </text>
    </comment>
    <comment ref="AA2" authorId="0">
      <text>
        <r>
          <rPr>
            <sz val="10"/>
            <rFont val="Arial"/>
            <family val="2"/>
          </rPr>
          <t xml:space="preserve">Hand-counted ground truth.</t>
        </r>
      </text>
    </comment>
    <comment ref="AB2" authorId="0">
      <text>
        <r>
          <rPr>
            <sz val="10"/>
            <rFont val="Arial"/>
            <family val="2"/>
          </rPr>
          <t xml:space="preserve">Actual measured distance, may differ from intended.</t>
        </r>
      </text>
    </comment>
    <comment ref="AC2" authorId="0">
      <text>
        <r>
          <rPr>
            <sz val="10"/>
            <rFont val="Arial"/>
            <family val="2"/>
          </rPr>
          <t xml:space="preserve">Post-hoc speed assessment — may differ from intended.</t>
        </r>
      </text>
    </comment>
    <comment ref="AD2" authorId="0">
      <text>
        <r>
          <rPr>
            <sz val="10"/>
            <rFont val="Arial"/>
            <family val="2"/>
          </rPr>
          <t xml:space="preserve">Semi-structured event log (e.g. 'paused@0:05; obstacle@0:09').</t>
        </r>
      </text>
    </comment>
    <comment ref="AE2" authorId="0">
      <text>
        <r>
          <rPr>
            <sz val="10"/>
            <rFont val="Arial"/>
            <family val="2"/>
          </rPr>
          <t xml:space="preserve">Why to drop from training set, if valid=N.</t>
        </r>
      </text>
    </comment>
    <comment ref="AF2" authorId="0">
      <text>
        <r>
          <rPr>
            <sz val="10"/>
            <rFont val="Arial"/>
            <family val="2"/>
          </rPr>
          <t xml:space="preserve">Open-ended observations.</t>
        </r>
      </text>
    </comment>
    <comment ref="AG2" authorId="0">
      <text>
        <r>
          <rPr>
            <sz val="10"/>
            <rFont val="Arial"/>
            <family val="2"/>
          </rPr>
          <t xml:space="preserve">Formula: sample_count / sample_rate_hz.</t>
        </r>
      </text>
    </comment>
    <comment ref="AH2" authorId="0">
      <text>
        <r>
          <rPr>
            <sz val="10"/>
            <rFont val="Arial"/>
            <family val="2"/>
          </rPr>
          <t xml:space="preserve">Formula: actual_distance_ft / duration_s.</t>
        </r>
      </text>
    </comment>
  </commentList>
</comments>
</file>

<file path=xl/sharedStrings.xml><?xml version="1.0" encoding="utf-8"?>
<sst xmlns="http://schemas.openxmlformats.org/spreadsheetml/2006/main" count="513" uniqueCount="201">
  <si>
    <t xml:space="preserve">FIRMWARE</t>
  </si>
  <si>
    <t xml:space="preserve">PRE-WALK</t>
  </si>
  <si>
    <t xml:space="preserve">POST-WALK</t>
  </si>
  <si>
    <t xml:space="preserve">DERIVED</t>
  </si>
  <si>
    <t xml:space="preserve">session_uuid</t>
  </si>
  <si>
    <t xml:space="preserve">device_serial</t>
  </si>
  <si>
    <t xml:space="preserve">firmware_version</t>
  </si>
  <si>
    <t xml:space="preserve">sensor_model</t>
  </si>
  <si>
    <t xml:space="preserve">sample_rate_hz</t>
  </si>
  <si>
    <t xml:space="preserve">accel_range_g</t>
  </si>
  <si>
    <t xml:space="preserve">gyro_range_dps</t>
  </si>
  <si>
    <t xml:space="preserve">session_start_utc</t>
  </si>
  <si>
    <t xml:space="preserve">session_end_utc</t>
  </si>
  <si>
    <t xml:space="preserve">sample_count</t>
  </si>
  <si>
    <t xml:space="preserve">battery_mv_start</t>
  </si>
  <si>
    <t xml:space="preserve">battery_mv_end</t>
  </si>
  <si>
    <t xml:space="preserve">flash_errors</t>
  </si>
  <si>
    <t xml:space="preserve">subject_id</t>
  </si>
  <si>
    <t xml:space="preserve">walker_type</t>
  </si>
  <si>
    <t xml:space="preserve">cap_type</t>
  </si>
  <si>
    <t xml:space="preserve">walker_model</t>
  </si>
  <si>
    <t xml:space="preserve">mount_config</t>
  </si>
  <si>
    <t xml:space="preserve">course_id</t>
  </si>
  <si>
    <t xml:space="preserve">intended_distance_ft</t>
  </si>
  <si>
    <t xml:space="preserve">surface</t>
  </si>
  <si>
    <t xml:space="preserve">intended_speed</t>
  </si>
  <si>
    <t xml:space="preserve">direction</t>
  </si>
  <si>
    <t xml:space="preserve">run_type</t>
  </si>
  <si>
    <t xml:space="preserve">operator</t>
  </si>
  <si>
    <t xml:space="preserve">valid</t>
  </si>
  <si>
    <t xml:space="preserve">manual_step_count</t>
  </si>
  <si>
    <t xml:space="preserve">actual_distance_ft</t>
  </si>
  <si>
    <t xml:space="preserve">subjective_speed</t>
  </si>
  <si>
    <t xml:space="preserve">events</t>
  </si>
  <si>
    <t xml:space="preserve">discard_reason</t>
  </si>
  <si>
    <t xml:space="preserve">free_notes</t>
  </si>
  <si>
    <t xml:space="preserve">duration_s</t>
  </si>
  <si>
    <t xml:space="preserve">avg_speed_ft_s</t>
  </si>
  <si>
    <t xml:space="preserve">e060f770-4c1b-46a9-bf9e-a683b42a62fb</t>
  </si>
  <si>
    <t xml:space="preserve">TH91X-0001</t>
  </si>
  <si>
    <t xml:space="preserve">0.1.0-dev</t>
  </si>
  <si>
    <t xml:space="preserve">BMI270</t>
  </si>
  <si>
    <t xml:space="preserve">2026-04-08T14:00:00Z</t>
  </si>
  <si>
    <t xml:space="preserve">2026-04-08T14:00:42Z</t>
  </si>
  <si>
    <t xml:space="preserve">S00</t>
  </si>
  <si>
    <t xml:space="preserve">standard</t>
  </si>
  <si>
    <t xml:space="preserve">tacky</t>
  </si>
  <si>
    <t xml:space="preserve">drive_standard_001</t>
  </si>
  <si>
    <t xml:space="preserve">front_left_leg</t>
  </si>
  <si>
    <t xml:space="preserve">hallway_straight</t>
  </si>
  <si>
    <t xml:space="preserve">hardwood</t>
  </si>
  <si>
    <t xml:space="preserve">slow</t>
  </si>
  <si>
    <t xml:space="preserve">straight</t>
  </si>
  <si>
    <t xml:space="preserve">normal</t>
  </si>
  <si>
    <t xml:space="preserve">jace</t>
  </si>
  <si>
    <t xml:space="preserve">Y</t>
  </si>
  <si>
    <t xml:space="preserve">baseline slow walk down hall</t>
  </si>
  <si>
    <t xml:space="preserve">92bbea64-bae6-4451-b14b-a4dd3512fcac</t>
  </si>
  <si>
    <t xml:space="preserve">2026-04-08T14:01:27Z</t>
  </si>
  <si>
    <t xml:space="preserve">2026-04-08T14:01:57Z</t>
  </si>
  <si>
    <t xml:space="preserve">comfortable pace</t>
  </si>
  <si>
    <t xml:space="preserve">50e13ecc-aaf1-4cb7-aa6d-710094331a71</t>
  </si>
  <si>
    <t xml:space="preserve">2026-04-08T14:02:42Z</t>
  </si>
  <si>
    <t xml:space="preserve">2026-04-08T14:03:04Z</t>
  </si>
  <si>
    <t xml:space="preserve">fast</t>
  </si>
  <si>
    <t xml:space="preserve">brisk</t>
  </si>
  <si>
    <t xml:space="preserve">36beb9d9-9076-4395-bf49-d77b7e539cc3</t>
  </si>
  <si>
    <t xml:space="preserve">2026-04-08T14:03:49Z</t>
  </si>
  <si>
    <t xml:space="preserve">2026-04-08T14:04:19Z</t>
  </si>
  <si>
    <t xml:space="preserve">repeat for variance</t>
  </si>
  <si>
    <t xml:space="preserve">daf61972-79fb-430b-b65a-fe3bd4fdce30</t>
  </si>
  <si>
    <t xml:space="preserve">2026-04-08T14:05:04Z</t>
  </si>
  <si>
    <t xml:space="preserve">2026-04-08T14:05:37Z</t>
  </si>
  <si>
    <t xml:space="preserve">living_room_lap</t>
  </si>
  <si>
    <t xml:space="preserve">low_pile_carpet</t>
  </si>
  <si>
    <t xml:space="preserve">s_curve</t>
  </si>
  <si>
    <t xml:space="preserve">s_curve@0:04</t>
  </si>
  <si>
    <t xml:space="preserve">path around coffee table</t>
  </si>
  <si>
    <t xml:space="preserve">28b920a8-84be-48f6-9179-2c335d68d766</t>
  </si>
  <si>
    <t xml:space="preserve">2026-04-08T14:06:22Z</t>
  </si>
  <si>
    <t xml:space="preserve">2026-04-08T14:06:45Z</t>
  </si>
  <si>
    <t xml:space="preserve">s_curve@0:03</t>
  </si>
  <si>
    <t xml:space="preserve">4cb2b175-1a0d-4586-acc1-e8140d57af81</t>
  </si>
  <si>
    <t xml:space="preserve">2026-04-08T14:07:30Z</t>
  </si>
  <si>
    <t xml:space="preserve">2026-04-08T14:08:00Z</t>
  </si>
  <si>
    <t xml:space="preserve">stumble</t>
  </si>
  <si>
    <t xml:space="preserve">stumble@0:07</t>
  </si>
  <si>
    <t xml:space="preserve">simulated near-trip mid-walk</t>
  </si>
  <si>
    <t xml:space="preserve">6d260771-90ef-4fe5-975a-141128e4a7a0</t>
  </si>
  <si>
    <t xml:space="preserve">2026-04-08T14:08:45Z</t>
  </si>
  <si>
    <t xml:space="preserve">2026-04-08T14:09:01Z</t>
  </si>
  <si>
    <t xml:space="preserve">pickup</t>
  </si>
  <si>
    <t xml:space="preserve">walker_lift@0:03</t>
  </si>
  <si>
    <t xml:space="preserve">lifted walker briefly to clear rug edge</t>
  </si>
  <si>
    <t xml:space="preserve">41d79053-745d-42fe-bbbc-8af1a301aab3</t>
  </si>
  <si>
    <t xml:space="preserve">2026-04-08T14:09:46Z</t>
  </si>
  <si>
    <t xml:space="preserve">2026-04-08T14:09:58Z</t>
  </si>
  <si>
    <t xml:space="preserve">kitchen_pivot</t>
  </si>
  <si>
    <t xml:space="preserve">tile</t>
  </si>
  <si>
    <t xml:space="preserve">pivot</t>
  </si>
  <si>
    <t xml:space="preserve">turn_test</t>
  </si>
  <si>
    <t xml:space="preserve">pivot_180@0:02</t>
  </si>
  <si>
    <t xml:space="preserve">turn in place at sink</t>
  </si>
  <si>
    <t xml:space="preserve">4b04b6b4-96d3-4601-857f-d847917f33b8</t>
  </si>
  <si>
    <t xml:space="preserve">2026-04-08T14:10:43Z</t>
  </si>
  <si>
    <t xml:space="preserve">2026-04-08T14:10:52Z</t>
  </si>
  <si>
    <t xml:space="preserve">turn_left</t>
  </si>
  <si>
    <t xml:space="preserve">turn_90_left@0:02</t>
  </si>
  <si>
    <t xml:space="preserve">61216197-d874-4073-9ea5-c2f82ea54dd9</t>
  </si>
  <si>
    <t xml:space="preserve">2026-04-08T14:11:37Z</t>
  </si>
  <si>
    <t xml:space="preserve">2026-04-08T14:11:57Z</t>
  </si>
  <si>
    <t xml:space="preserve">stationary_baseline</t>
  </si>
  <si>
    <t xml:space="preserve">walker parked, no motion</t>
  </si>
  <si>
    <t xml:space="preserve">f43ca531-a574-4984-b5ce-63fb8edc740d</t>
  </si>
  <si>
    <t xml:space="preserve">2026-04-08T14:12:42Z</t>
  </si>
  <si>
    <t xml:space="preserve">2026-04-08T14:13:02Z</t>
  </si>
  <si>
    <t xml:space="preserve">hand_bump@0:15</t>
  </si>
  <si>
    <t xml:space="preserve">intentional hand bump to test false-positive rejection</t>
  </si>
  <si>
    <t xml:space="preserve">de25fa02-abc1-4d4d-9c73-73427992a610</t>
  </si>
  <si>
    <t xml:space="preserve">2026-04-08T14:13:47Z</t>
  </si>
  <si>
    <t xml:space="preserve">2026-04-08T14:14:13Z</t>
  </si>
  <si>
    <t xml:space="preserve">bedroom_to_bath</t>
  </si>
  <si>
    <t xml:space="preserve">turn_right</t>
  </si>
  <si>
    <t xml:space="preserve">turn_90_right@0:05</t>
  </si>
  <si>
    <t xml:space="preserve">a56465ea-92b0-47fb-9c6c-1b250dc5f619</t>
  </si>
  <si>
    <t xml:space="preserve">2026-04-08T14:14:58Z</t>
  </si>
  <si>
    <t xml:space="preserve">2026-04-08T14:15:28Z</t>
  </si>
  <si>
    <t xml:space="preserve">N</t>
  </si>
  <si>
    <t xml:space="preserve">bad_mount</t>
  </si>
  <si>
    <t xml:space="preserve">cap slipped on tube mid-walk — exclude</t>
  </si>
  <si>
    <t xml:space="preserve">157d9080-e927-4a59-9add-f8d31a88c4a1</t>
  </si>
  <si>
    <t xml:space="preserve">2026-04-08T14:16:13Z</t>
  </si>
  <si>
    <t xml:space="preserve">2026-04-08T14:16:43Z</t>
  </si>
  <si>
    <t xml:space="preserve">car_trunk</t>
  </si>
  <si>
    <t xml:space="preserve">outdoor_concrete</t>
  </si>
  <si>
    <t xml:space="preserve">car_transport</t>
  </si>
  <si>
    <t xml:space="preserve">car_door@0:01;car_door@0:20</t>
  </si>
  <si>
    <t xml:space="preserve">walker loaded in/out of trunk, should not register steps</t>
  </si>
  <si>
    <t xml:space="preserve">Column</t>
  </si>
  <si>
    <t xml:space="preserve">Layer</t>
  </si>
  <si>
    <t xml:space="preserve">Meaning / who fills it in</t>
  </si>
  <si>
    <t xml:space="preserve">Primary key. UUIDv4 generated by firmware at session start.</t>
  </si>
  <si>
    <t xml:space="preserve">Thingy:91 X serial / board ID.</t>
  </si>
  <si>
    <t xml:space="preserve">Semver string baked into build.</t>
  </si>
  <si>
    <t xml:space="preserve">Which IMU the samples came from (BMI270 / ADXL367).</t>
  </si>
  <si>
    <t xml:space="preserve">Configured ODR for this session.</t>
  </si>
  <si>
    <t xml:space="preserve">Full-scale accel range.</t>
  </si>
  <si>
    <t xml:space="preserve">Full-scale gyro range.</t>
  </si>
  <si>
    <t xml:space="preserve">RTC timestamp at session start.</t>
  </si>
  <si>
    <t xml:space="preserve">RTC timestamp at session end.</t>
  </si>
  <si>
    <t xml:space="preserve">Total samples written.</t>
  </si>
  <si>
    <t xml:space="preserve">Battery voltage at session start.</t>
  </si>
  <si>
    <t xml:space="preserve">Battery voltage at session end.</t>
  </si>
  <si>
    <t xml:space="preserve">Non-zero = data integrity suspect.</t>
  </si>
  <si>
    <t xml:space="preserve">Anonymized subject code.</t>
  </si>
  <si>
    <t xml:space="preserve">standard (no wheels) or two_wheel (front wheels, rear glides).</t>
  </si>
  <si>
    <t xml:space="preserve">tacky (for standard walkers) or glide (for 2-wheeled walkers).</t>
  </si>
  <si>
    <t xml:space="preserve">Walker brand/model identifier.</t>
  </si>
  <si>
    <t xml:space="preserve">Where on the walker the cap is mounted (front_left, etc).</t>
  </si>
  <si>
    <t xml:space="preserve">Named physical course / path.</t>
  </si>
  <si>
    <t xml:space="preserve">Tape-measured course length.</t>
  </si>
  <si>
    <t xml:space="preserve">Controlled vocab — see Vocabularies sheet.</t>
  </si>
  <si>
    <t xml:space="preserve">slow / normal / fast.</t>
  </si>
  <si>
    <t xml:space="preserve">straight / turn_left / turn_right / s_curve / pivot.</t>
  </si>
  <si>
    <t xml:space="preserve">normal / stumble / pickup / ... See Vocabularies.</t>
  </si>
  <si>
    <t xml:space="preserve">Who ran the session.</t>
  </si>
  <si>
    <t xml:space="preserve">Y/N — did the run complete cleanly?</t>
  </si>
  <si>
    <t xml:space="preserve">Hand-counted ground truth.</t>
  </si>
  <si>
    <t xml:space="preserve">Actual measured distance, may differ from intended.</t>
  </si>
  <si>
    <t xml:space="preserve">Post-hoc speed assessment — may differ from intended.</t>
  </si>
  <si>
    <t xml:space="preserve">Semi-structured event log (e.g. 'paused@0:05; obstacle@0:09').</t>
  </si>
  <si>
    <t xml:space="preserve">Why to drop from training set, if valid=N.</t>
  </si>
  <si>
    <t xml:space="preserve">Open-ended observations.</t>
  </si>
  <si>
    <t xml:space="preserve">Formula: sample_count / sample_rate_hz.</t>
  </si>
  <si>
    <t xml:space="preserve">Formula: actual_distance_ft / duration_s.</t>
  </si>
  <si>
    <t xml:space="preserve">LAYER KEY</t>
  </si>
  <si>
    <t xml:space="preserve">Written by the device into the session header. Never edited by hand.</t>
  </si>
  <si>
    <t xml:space="preserve">Set by BLE command (or operator log) before pressing 'start'. Captures intent.</t>
  </si>
  <si>
    <t xml:space="preserve">Filled in by the operator after the walk, from memory / tape measure / video.</t>
  </si>
  <si>
    <t xml:space="preserve">Formulas only. Do not overwrite.</t>
  </si>
  <si>
    <t xml:space="preserve">polished_concrete</t>
  </si>
  <si>
    <t xml:space="preserve">two_wheel</t>
  </si>
  <si>
    <t xml:space="preserve">glide</t>
  </si>
  <si>
    <t xml:space="preserve">front_right_leg</t>
  </si>
  <si>
    <t xml:space="preserve">sensor_glitch</t>
  </si>
  <si>
    <t xml:space="preserve">high_pile_carpet</t>
  </si>
  <si>
    <t xml:space="preserve">rear_left_leg</t>
  </si>
  <si>
    <t xml:space="preserve">incomplete_run</t>
  </si>
  <si>
    <t xml:space="preserve">setdown</t>
  </si>
  <si>
    <t xml:space="preserve">rear_right_leg</t>
  </si>
  <si>
    <t xml:space="preserve">wrong_course</t>
  </si>
  <si>
    <t xml:space="preserve">front_crossbar</t>
  </si>
  <si>
    <t xml:space="preserve">interruption</t>
  </si>
  <si>
    <t xml:space="preserve">linoleum</t>
  </si>
  <si>
    <t xml:space="preserve">operator_error</t>
  </si>
  <si>
    <t xml:space="preserve">vinyl</t>
  </si>
  <si>
    <t xml:space="preserve">chair_transfer</t>
  </si>
  <si>
    <t xml:space="preserve">outdoor_asphalt</t>
  </si>
  <si>
    <t xml:space="preserve">obstacle</t>
  </si>
  <si>
    <t xml:space="preserve">walker_type_transition</t>
  </si>
  <si>
    <t xml:space="preserve">surface_transition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</si>
</sst>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D9D9D9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EFEFEF"/>
      </patternFill>
    </fill>
    <fill>
      <patternFill patternType="solid">
        <fgColor rgb="FFEFEFEF"/>
        <bgColor rgb="FFFFF2CC"/>
      </patternFill>
    </fill>
    <fill>
      <patternFill patternType="solid">
        <fgColor rgb="FFD9D9D9"/>
        <bgColor rgb="FFCF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20"/>
    <col collapsed="false" customWidth="true" hidden="false" outlineLevel="0" max="12" min="10" style="0" width="12"/>
    <col collapsed="false" customWidth="true" hidden="false" outlineLevel="0" max="14" min="13" style="0" width="11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20"/>
    <col collapsed="false" customWidth="true" hidden="false" outlineLevel="0" max="18" min="18" style="0" width="18"/>
    <col collapsed="false" customWidth="true" hidden="false" outlineLevel="0" max="20" min="19" style="0" width="14"/>
    <col collapsed="false" customWidth="true" hidden="false" outlineLevel="0" max="21" min="21" style="0" width="18"/>
    <col collapsed="false" customWidth="true" hidden="false" outlineLevel="0" max="22" min="22" style="0" width="12"/>
    <col collapsed="false" customWidth="true" hidden="false" outlineLevel="0" max="23" min="23" style="0" width="14"/>
    <col collapsed="false" customWidth="true" hidden="false" outlineLevel="0" max="24" min="24" style="0" width="18"/>
    <col collapsed="false" customWidth="true" hidden="false" outlineLevel="0" max="25" min="25" style="0" width="10"/>
    <col collapsed="false" customWidth="true" hidden="false" outlineLevel="0" max="26" min="26" style="0" width="8"/>
    <col collapsed="false" customWidth="true" hidden="false" outlineLevel="0" max="27" min="27" style="0" width="12"/>
    <col collapsed="false" customWidth="true" hidden="false" outlineLevel="0" max="29" min="28" style="0" width="14"/>
    <col collapsed="false" customWidth="true" hidden="false" outlineLevel="0" max="30" min="30" style="0" width="30"/>
    <col collapsed="false" customWidth="true" hidden="false" outlineLevel="0" max="31" min="31" style="0" width="18"/>
    <col collapsed="false" customWidth="true" hidden="false" outlineLevel="0" max="32" min="32" style="0" width="36"/>
    <col collapsed="false" customWidth="true" hidden="false" outlineLevel="0" max="33" min="33" style="0" width="10"/>
    <col collapsed="false" customWidth="true" hidden="false" outlineLevel="0" max="34" min="34" style="0" width="1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4" t="s">
        <v>3</v>
      </c>
      <c r="AH1" s="4"/>
    </row>
    <row r="2" customFormat="false" ht="31.5" hidden="false" customHeight="true" outlineLevel="0" collapsed="false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8" t="s">
        <v>36</v>
      </c>
      <c r="AH2" s="8" t="s">
        <v>37</v>
      </c>
    </row>
    <row r="3" customFormat="false" ht="30" hidden="false" customHeight="true" outlineLevel="0" collapsed="false">
      <c r="A3" s="9" t="s">
        <v>38</v>
      </c>
      <c r="B3" s="9" t="s">
        <v>39</v>
      </c>
      <c r="C3" s="9" t="s">
        <v>40</v>
      </c>
      <c r="D3" s="9" t="s">
        <v>41</v>
      </c>
      <c r="E3" s="9" t="n">
        <v>100</v>
      </c>
      <c r="F3" s="9" t="n">
        <v>4</v>
      </c>
      <c r="G3" s="9" t="n">
        <v>500</v>
      </c>
      <c r="H3" s="9" t="s">
        <v>42</v>
      </c>
      <c r="I3" s="9" t="s">
        <v>43</v>
      </c>
      <c r="J3" s="9" t="n">
        <v>4200</v>
      </c>
      <c r="K3" s="9" t="n">
        <v>4050</v>
      </c>
      <c r="L3" s="9" t="n">
        <v>4046</v>
      </c>
      <c r="M3" s="9" t="n">
        <v>0</v>
      </c>
      <c r="N3" s="9" t="s">
        <v>44</v>
      </c>
      <c r="O3" s="9" t="s">
        <v>45</v>
      </c>
      <c r="P3" s="9" t="s">
        <v>46</v>
      </c>
      <c r="Q3" s="9" t="s">
        <v>47</v>
      </c>
      <c r="R3" s="9" t="s">
        <v>48</v>
      </c>
      <c r="S3" s="9" t="s">
        <v>49</v>
      </c>
      <c r="T3" s="9" t="n">
        <v>20</v>
      </c>
      <c r="U3" s="9" t="s">
        <v>50</v>
      </c>
      <c r="V3" s="9" t="s">
        <v>51</v>
      </c>
      <c r="W3" s="9" t="s">
        <v>52</v>
      </c>
      <c r="X3" s="9" t="s">
        <v>53</v>
      </c>
      <c r="Y3" s="9" t="s">
        <v>54</v>
      </c>
      <c r="Z3" s="9" t="s">
        <v>55</v>
      </c>
      <c r="AA3" s="9" t="n">
        <v>14</v>
      </c>
      <c r="AB3" s="9" t="n">
        <v>20</v>
      </c>
      <c r="AC3" s="9" t="s">
        <v>51</v>
      </c>
      <c r="AD3" s="9"/>
      <c r="AE3" s="9"/>
      <c r="AF3" s="9" t="s">
        <v>56</v>
      </c>
      <c r="AG3" s="10" t="n">
        <f aca="false">IFERROR(J3/E3,"")</f>
        <v>42</v>
      </c>
      <c r="AH3" s="11" t="n">
        <f aca="false">IFERROR(IF(AG3&gt;0,AB3/AG3,0),"")</f>
        <v>0.476190476190476</v>
      </c>
    </row>
    <row r="4" customFormat="false" ht="30" hidden="false" customHeight="true" outlineLevel="0" collapsed="false">
      <c r="A4" s="9" t="s">
        <v>57</v>
      </c>
      <c r="B4" s="9" t="s">
        <v>39</v>
      </c>
      <c r="C4" s="9" t="s">
        <v>40</v>
      </c>
      <c r="D4" s="9" t="s">
        <v>41</v>
      </c>
      <c r="E4" s="9" t="n">
        <v>100</v>
      </c>
      <c r="F4" s="9" t="n">
        <v>4</v>
      </c>
      <c r="G4" s="9" t="n">
        <v>500</v>
      </c>
      <c r="H4" s="9" t="s">
        <v>58</v>
      </c>
      <c r="I4" s="9" t="s">
        <v>59</v>
      </c>
      <c r="J4" s="9" t="n">
        <v>3000</v>
      </c>
      <c r="K4" s="9" t="n">
        <v>4047</v>
      </c>
      <c r="L4" s="9" t="n">
        <v>4044</v>
      </c>
      <c r="M4" s="9" t="n">
        <v>0</v>
      </c>
      <c r="N4" s="9" t="s">
        <v>44</v>
      </c>
      <c r="O4" s="9" t="s">
        <v>45</v>
      </c>
      <c r="P4" s="9" t="s">
        <v>46</v>
      </c>
      <c r="Q4" s="9" t="s">
        <v>47</v>
      </c>
      <c r="R4" s="9" t="s">
        <v>48</v>
      </c>
      <c r="S4" s="9" t="s">
        <v>49</v>
      </c>
      <c r="T4" s="9" t="n">
        <v>20</v>
      </c>
      <c r="U4" s="9" t="s">
        <v>50</v>
      </c>
      <c r="V4" s="9" t="s">
        <v>53</v>
      </c>
      <c r="W4" s="9" t="s">
        <v>52</v>
      </c>
      <c r="X4" s="9" t="s">
        <v>53</v>
      </c>
      <c r="Y4" s="9" t="s">
        <v>54</v>
      </c>
      <c r="Z4" s="9" t="s">
        <v>55</v>
      </c>
      <c r="AA4" s="9" t="n">
        <v>11</v>
      </c>
      <c r="AB4" s="9" t="n">
        <v>20</v>
      </c>
      <c r="AC4" s="9" t="s">
        <v>53</v>
      </c>
      <c r="AD4" s="9"/>
      <c r="AE4" s="9"/>
      <c r="AF4" s="9" t="s">
        <v>60</v>
      </c>
      <c r="AG4" s="10" t="n">
        <f aca="false">IFERROR(J4/E4,"")</f>
        <v>30</v>
      </c>
      <c r="AH4" s="11" t="n">
        <f aca="false">IFERROR(IF(AG4&gt;0,AB4/AG4,0),"")</f>
        <v>0.666666666666667</v>
      </c>
    </row>
    <row r="5" customFormat="false" ht="30" hidden="false" customHeight="true" outlineLevel="0" collapsed="false">
      <c r="A5" s="9" t="s">
        <v>61</v>
      </c>
      <c r="B5" s="9" t="s">
        <v>39</v>
      </c>
      <c r="C5" s="9" t="s">
        <v>40</v>
      </c>
      <c r="D5" s="9" t="s">
        <v>41</v>
      </c>
      <c r="E5" s="9" t="n">
        <v>100</v>
      </c>
      <c r="F5" s="9" t="n">
        <v>4</v>
      </c>
      <c r="G5" s="9" t="n">
        <v>500</v>
      </c>
      <c r="H5" s="9" t="s">
        <v>62</v>
      </c>
      <c r="I5" s="9" t="s">
        <v>63</v>
      </c>
      <c r="J5" s="9" t="n">
        <v>2200</v>
      </c>
      <c r="K5" s="9" t="n">
        <v>4044</v>
      </c>
      <c r="L5" s="9" t="n">
        <v>4042</v>
      </c>
      <c r="M5" s="9" t="n">
        <v>0</v>
      </c>
      <c r="N5" s="9" t="s">
        <v>44</v>
      </c>
      <c r="O5" s="9" t="s">
        <v>45</v>
      </c>
      <c r="P5" s="9" t="s">
        <v>46</v>
      </c>
      <c r="Q5" s="9" t="s">
        <v>47</v>
      </c>
      <c r="R5" s="9" t="s">
        <v>48</v>
      </c>
      <c r="S5" s="9" t="s">
        <v>49</v>
      </c>
      <c r="T5" s="9" t="n">
        <v>20</v>
      </c>
      <c r="U5" s="9" t="s">
        <v>50</v>
      </c>
      <c r="V5" s="9" t="s">
        <v>64</v>
      </c>
      <c r="W5" s="9" t="s">
        <v>52</v>
      </c>
      <c r="X5" s="9" t="s">
        <v>53</v>
      </c>
      <c r="Y5" s="9" t="s">
        <v>54</v>
      </c>
      <c r="Z5" s="9" t="s">
        <v>55</v>
      </c>
      <c r="AA5" s="9" t="n">
        <v>9</v>
      </c>
      <c r="AB5" s="9" t="n">
        <v>20</v>
      </c>
      <c r="AC5" s="9" t="s">
        <v>64</v>
      </c>
      <c r="AD5" s="9"/>
      <c r="AE5" s="9"/>
      <c r="AF5" s="9" t="s">
        <v>65</v>
      </c>
      <c r="AG5" s="10" t="n">
        <f aca="false">IFERROR(J5/E5,"")</f>
        <v>22</v>
      </c>
      <c r="AH5" s="11" t="n">
        <f aca="false">IFERROR(IF(AG5&gt;0,AB5/AG5,0),"")</f>
        <v>0.909090909090909</v>
      </c>
    </row>
    <row r="6" customFormat="false" ht="30" hidden="false" customHeight="true" outlineLevel="0" collapsed="false">
      <c r="A6" s="9" t="s">
        <v>66</v>
      </c>
      <c r="B6" s="9" t="s">
        <v>39</v>
      </c>
      <c r="C6" s="9" t="s">
        <v>40</v>
      </c>
      <c r="D6" s="9" t="s">
        <v>41</v>
      </c>
      <c r="E6" s="9" t="n">
        <v>100</v>
      </c>
      <c r="F6" s="9" t="n">
        <v>4</v>
      </c>
      <c r="G6" s="9" t="n">
        <v>500</v>
      </c>
      <c r="H6" s="9" t="s">
        <v>67</v>
      </c>
      <c r="I6" s="9" t="s">
        <v>68</v>
      </c>
      <c r="J6" s="9" t="n">
        <v>3000</v>
      </c>
      <c r="K6" s="9" t="n">
        <v>4041</v>
      </c>
      <c r="L6" s="9" t="n">
        <v>4038</v>
      </c>
      <c r="M6" s="9" t="n">
        <v>0</v>
      </c>
      <c r="N6" s="9" t="s">
        <v>44</v>
      </c>
      <c r="O6" s="9" t="s">
        <v>45</v>
      </c>
      <c r="P6" s="9" t="s">
        <v>46</v>
      </c>
      <c r="Q6" s="9" t="s">
        <v>47</v>
      </c>
      <c r="R6" s="9" t="s">
        <v>48</v>
      </c>
      <c r="S6" s="9" t="s">
        <v>49</v>
      </c>
      <c r="T6" s="9" t="n">
        <v>20</v>
      </c>
      <c r="U6" s="9" t="s">
        <v>50</v>
      </c>
      <c r="V6" s="9" t="s">
        <v>53</v>
      </c>
      <c r="W6" s="9" t="s">
        <v>52</v>
      </c>
      <c r="X6" s="9" t="s">
        <v>53</v>
      </c>
      <c r="Y6" s="9" t="s">
        <v>54</v>
      </c>
      <c r="Z6" s="9" t="s">
        <v>55</v>
      </c>
      <c r="AA6" s="9" t="n">
        <v>11</v>
      </c>
      <c r="AB6" s="9" t="n">
        <v>20</v>
      </c>
      <c r="AC6" s="9" t="s">
        <v>53</v>
      </c>
      <c r="AD6" s="9"/>
      <c r="AE6" s="9"/>
      <c r="AF6" s="9" t="s">
        <v>69</v>
      </c>
      <c r="AG6" s="10" t="n">
        <f aca="false">IFERROR(J6/E6,"")</f>
        <v>30</v>
      </c>
      <c r="AH6" s="11" t="n">
        <f aca="false">IFERROR(IF(AG6&gt;0,AB6/AG6,0),"")</f>
        <v>0.666666666666667</v>
      </c>
    </row>
    <row r="7" customFormat="false" ht="30" hidden="false" customHeight="true" outlineLevel="0" collapsed="false">
      <c r="A7" s="9" t="s">
        <v>70</v>
      </c>
      <c r="B7" s="9" t="s">
        <v>39</v>
      </c>
      <c r="C7" s="9" t="s">
        <v>40</v>
      </c>
      <c r="D7" s="9" t="s">
        <v>41</v>
      </c>
      <c r="E7" s="9" t="n">
        <v>100</v>
      </c>
      <c r="F7" s="9" t="n">
        <v>4</v>
      </c>
      <c r="G7" s="9" t="n">
        <v>500</v>
      </c>
      <c r="H7" s="9" t="s">
        <v>71</v>
      </c>
      <c r="I7" s="9" t="s">
        <v>72</v>
      </c>
      <c r="J7" s="9" t="n">
        <v>3300</v>
      </c>
      <c r="K7" s="9" t="n">
        <v>4038</v>
      </c>
      <c r="L7" s="9" t="n">
        <v>4035</v>
      </c>
      <c r="M7" s="9" t="n">
        <v>0</v>
      </c>
      <c r="N7" s="9" t="s">
        <v>44</v>
      </c>
      <c r="O7" s="9" t="s">
        <v>45</v>
      </c>
      <c r="P7" s="9" t="s">
        <v>46</v>
      </c>
      <c r="Q7" s="9" t="s">
        <v>47</v>
      </c>
      <c r="R7" s="9" t="s">
        <v>48</v>
      </c>
      <c r="S7" s="9" t="s">
        <v>73</v>
      </c>
      <c r="T7" s="9" t="n">
        <v>15</v>
      </c>
      <c r="U7" s="9" t="s">
        <v>74</v>
      </c>
      <c r="V7" s="9" t="s">
        <v>51</v>
      </c>
      <c r="W7" s="9" t="s">
        <v>75</v>
      </c>
      <c r="X7" s="9" t="s">
        <v>53</v>
      </c>
      <c r="Y7" s="9" t="s">
        <v>54</v>
      </c>
      <c r="Z7" s="9" t="s">
        <v>55</v>
      </c>
      <c r="AA7" s="9" t="n">
        <v>12</v>
      </c>
      <c r="AB7" s="9" t="n">
        <v>15.5</v>
      </c>
      <c r="AC7" s="9" t="s">
        <v>51</v>
      </c>
      <c r="AD7" s="9" t="s">
        <v>76</v>
      </c>
      <c r="AE7" s="9"/>
      <c r="AF7" s="9" t="s">
        <v>77</v>
      </c>
      <c r="AG7" s="10" t="n">
        <f aca="false">IFERROR(J7/E7,"")</f>
        <v>33</v>
      </c>
      <c r="AH7" s="11" t="n">
        <f aca="false">IFERROR(IF(AG7&gt;0,AB7/AG7,0),"")</f>
        <v>0.46969696969697</v>
      </c>
    </row>
    <row r="8" customFormat="false" ht="30" hidden="false" customHeight="true" outlineLevel="0" collapsed="false">
      <c r="A8" s="9" t="s">
        <v>78</v>
      </c>
      <c r="B8" s="9" t="s">
        <v>39</v>
      </c>
      <c r="C8" s="9" t="s">
        <v>40</v>
      </c>
      <c r="D8" s="9" t="s">
        <v>41</v>
      </c>
      <c r="E8" s="9" t="n">
        <v>100</v>
      </c>
      <c r="F8" s="9" t="n">
        <v>4</v>
      </c>
      <c r="G8" s="9" t="n">
        <v>500</v>
      </c>
      <c r="H8" s="9" t="s">
        <v>79</v>
      </c>
      <c r="I8" s="9" t="s">
        <v>80</v>
      </c>
      <c r="J8" s="9" t="n">
        <v>2370</v>
      </c>
      <c r="K8" s="9" t="n">
        <v>4035</v>
      </c>
      <c r="L8" s="9" t="n">
        <v>4033</v>
      </c>
      <c r="M8" s="9" t="n">
        <v>0</v>
      </c>
      <c r="N8" s="9" t="s">
        <v>44</v>
      </c>
      <c r="O8" s="9" t="s">
        <v>45</v>
      </c>
      <c r="P8" s="9" t="s">
        <v>46</v>
      </c>
      <c r="Q8" s="9" t="s">
        <v>47</v>
      </c>
      <c r="R8" s="9" t="s">
        <v>48</v>
      </c>
      <c r="S8" s="9" t="s">
        <v>73</v>
      </c>
      <c r="T8" s="9" t="n">
        <v>15</v>
      </c>
      <c r="U8" s="9" t="s">
        <v>74</v>
      </c>
      <c r="V8" s="9" t="s">
        <v>53</v>
      </c>
      <c r="W8" s="9" t="s">
        <v>75</v>
      </c>
      <c r="X8" s="9" t="s">
        <v>53</v>
      </c>
      <c r="Y8" s="9" t="s">
        <v>54</v>
      </c>
      <c r="Z8" s="9" t="s">
        <v>55</v>
      </c>
      <c r="AA8" s="9" t="n">
        <v>10</v>
      </c>
      <c r="AB8" s="9" t="n">
        <v>15.5</v>
      </c>
      <c r="AC8" s="9" t="s">
        <v>53</v>
      </c>
      <c r="AD8" s="9" t="s">
        <v>81</v>
      </c>
      <c r="AE8" s="9"/>
      <c r="AF8" s="9"/>
      <c r="AG8" s="10" t="n">
        <f aca="false">IFERROR(J8/E8,"")</f>
        <v>23.7</v>
      </c>
      <c r="AH8" s="11" t="n">
        <f aca="false">IFERROR(IF(AG8&gt;0,AB8/AG8,0),"")</f>
        <v>0.654008438818565</v>
      </c>
    </row>
    <row r="9" customFormat="false" ht="30" hidden="false" customHeight="true" outlineLevel="0" collapsed="false">
      <c r="A9" s="9" t="s">
        <v>82</v>
      </c>
      <c r="B9" s="9" t="s">
        <v>39</v>
      </c>
      <c r="C9" s="9" t="s">
        <v>40</v>
      </c>
      <c r="D9" s="9" t="s">
        <v>41</v>
      </c>
      <c r="E9" s="9" t="n">
        <v>100</v>
      </c>
      <c r="F9" s="9" t="n">
        <v>4</v>
      </c>
      <c r="G9" s="9" t="n">
        <v>500</v>
      </c>
      <c r="H9" s="9" t="s">
        <v>83</v>
      </c>
      <c r="I9" s="9" t="s">
        <v>84</v>
      </c>
      <c r="J9" s="9" t="n">
        <v>3000</v>
      </c>
      <c r="K9" s="9" t="n">
        <v>4032</v>
      </c>
      <c r="L9" s="9" t="n">
        <v>4029</v>
      </c>
      <c r="M9" s="9" t="n">
        <v>0</v>
      </c>
      <c r="N9" s="9" t="s">
        <v>44</v>
      </c>
      <c r="O9" s="9" t="s">
        <v>45</v>
      </c>
      <c r="P9" s="9" t="s">
        <v>46</v>
      </c>
      <c r="Q9" s="9" t="s">
        <v>47</v>
      </c>
      <c r="R9" s="9" t="s">
        <v>48</v>
      </c>
      <c r="S9" s="9" t="s">
        <v>49</v>
      </c>
      <c r="T9" s="9" t="n">
        <v>20</v>
      </c>
      <c r="U9" s="9" t="s">
        <v>50</v>
      </c>
      <c r="V9" s="9" t="s">
        <v>53</v>
      </c>
      <c r="W9" s="9" t="s">
        <v>52</v>
      </c>
      <c r="X9" s="9" t="s">
        <v>85</v>
      </c>
      <c r="Y9" s="9" t="s">
        <v>54</v>
      </c>
      <c r="Z9" s="9" t="s">
        <v>55</v>
      </c>
      <c r="AA9" s="9" t="n">
        <v>12</v>
      </c>
      <c r="AB9" s="9" t="n">
        <v>20</v>
      </c>
      <c r="AC9" s="9" t="s">
        <v>53</v>
      </c>
      <c r="AD9" s="9" t="s">
        <v>86</v>
      </c>
      <c r="AE9" s="9"/>
      <c r="AF9" s="9" t="s">
        <v>87</v>
      </c>
      <c r="AG9" s="10" t="n">
        <f aca="false">IFERROR(J9/E9,"")</f>
        <v>30</v>
      </c>
      <c r="AH9" s="11" t="n">
        <f aca="false">IFERROR(IF(AG9&gt;0,AB9/AG9,0),"")</f>
        <v>0.666666666666667</v>
      </c>
    </row>
    <row r="10" customFormat="false" ht="30" hidden="false" customHeight="true" outlineLevel="0" collapsed="false">
      <c r="A10" s="9" t="s">
        <v>88</v>
      </c>
      <c r="B10" s="9" t="s">
        <v>39</v>
      </c>
      <c r="C10" s="9" t="s">
        <v>40</v>
      </c>
      <c r="D10" s="9" t="s">
        <v>41</v>
      </c>
      <c r="E10" s="9" t="n">
        <v>100</v>
      </c>
      <c r="F10" s="9" t="n">
        <v>4</v>
      </c>
      <c r="G10" s="9" t="n">
        <v>500</v>
      </c>
      <c r="H10" s="9" t="s">
        <v>89</v>
      </c>
      <c r="I10" s="9" t="s">
        <v>90</v>
      </c>
      <c r="J10" s="9" t="n">
        <v>1600</v>
      </c>
      <c r="K10" s="9" t="n">
        <v>4029</v>
      </c>
      <c r="L10" s="9" t="n">
        <v>4028</v>
      </c>
      <c r="M10" s="9" t="n">
        <v>0</v>
      </c>
      <c r="N10" s="9" t="s">
        <v>44</v>
      </c>
      <c r="O10" s="9" t="s">
        <v>45</v>
      </c>
      <c r="P10" s="9" t="s">
        <v>46</v>
      </c>
      <c r="Q10" s="9" t="s">
        <v>47</v>
      </c>
      <c r="R10" s="9" t="s">
        <v>48</v>
      </c>
      <c r="S10" s="9" t="s">
        <v>49</v>
      </c>
      <c r="T10" s="9" t="n">
        <v>10</v>
      </c>
      <c r="U10" s="9" t="s">
        <v>50</v>
      </c>
      <c r="V10" s="9" t="s">
        <v>53</v>
      </c>
      <c r="W10" s="9" t="s">
        <v>52</v>
      </c>
      <c r="X10" s="9" t="s">
        <v>91</v>
      </c>
      <c r="Y10" s="9" t="s">
        <v>54</v>
      </c>
      <c r="Z10" s="9" t="s">
        <v>55</v>
      </c>
      <c r="AA10" s="9" t="n">
        <v>7</v>
      </c>
      <c r="AB10" s="9" t="n">
        <v>10</v>
      </c>
      <c r="AC10" s="9" t="s">
        <v>53</v>
      </c>
      <c r="AD10" s="9" t="s">
        <v>92</v>
      </c>
      <c r="AE10" s="9"/>
      <c r="AF10" s="9" t="s">
        <v>93</v>
      </c>
      <c r="AG10" s="10" t="n">
        <f aca="false">IFERROR(J10/E10,"")</f>
        <v>16</v>
      </c>
      <c r="AH10" s="11" t="n">
        <f aca="false">IFERROR(IF(AG10&gt;0,AB10/AG10,0),"")</f>
        <v>0.625</v>
      </c>
    </row>
    <row r="11" customFormat="false" ht="30" hidden="false" customHeight="true" outlineLevel="0" collapsed="false">
      <c r="A11" s="9" t="s">
        <v>94</v>
      </c>
      <c r="B11" s="9" t="s">
        <v>39</v>
      </c>
      <c r="C11" s="9" t="s">
        <v>40</v>
      </c>
      <c r="D11" s="9" t="s">
        <v>41</v>
      </c>
      <c r="E11" s="9" t="n">
        <v>100</v>
      </c>
      <c r="F11" s="9" t="n">
        <v>4</v>
      </c>
      <c r="G11" s="9" t="n">
        <v>500</v>
      </c>
      <c r="H11" s="9" t="s">
        <v>95</v>
      </c>
      <c r="I11" s="9" t="s">
        <v>96</v>
      </c>
      <c r="J11" s="9" t="n">
        <v>1200</v>
      </c>
      <c r="K11" s="9" t="n">
        <v>4026</v>
      </c>
      <c r="L11" s="9" t="n">
        <v>4025</v>
      </c>
      <c r="M11" s="9" t="n">
        <v>0</v>
      </c>
      <c r="N11" s="9" t="s">
        <v>44</v>
      </c>
      <c r="O11" s="9" t="s">
        <v>45</v>
      </c>
      <c r="P11" s="9" t="s">
        <v>46</v>
      </c>
      <c r="Q11" s="9" t="s">
        <v>47</v>
      </c>
      <c r="R11" s="9" t="s">
        <v>48</v>
      </c>
      <c r="S11" s="9" t="s">
        <v>97</v>
      </c>
      <c r="T11" s="9" t="n">
        <v>5</v>
      </c>
      <c r="U11" s="9" t="s">
        <v>98</v>
      </c>
      <c r="V11" s="9" t="s">
        <v>51</v>
      </c>
      <c r="W11" s="9" t="s">
        <v>99</v>
      </c>
      <c r="X11" s="9" t="s">
        <v>100</v>
      </c>
      <c r="Y11" s="9" t="s">
        <v>54</v>
      </c>
      <c r="Z11" s="9" t="s">
        <v>55</v>
      </c>
      <c r="AA11" s="9" t="n">
        <v>4</v>
      </c>
      <c r="AB11" s="9" t="n">
        <v>5</v>
      </c>
      <c r="AC11" s="9" t="s">
        <v>51</v>
      </c>
      <c r="AD11" s="9" t="s">
        <v>101</v>
      </c>
      <c r="AE11" s="9"/>
      <c r="AF11" s="9" t="s">
        <v>102</v>
      </c>
      <c r="AG11" s="10" t="n">
        <f aca="false">IFERROR(J11/E11,"")</f>
        <v>12</v>
      </c>
      <c r="AH11" s="11" t="n">
        <f aca="false">IFERROR(IF(AG11&gt;0,AB11/AG11,0),"")</f>
        <v>0.416666666666667</v>
      </c>
    </row>
    <row r="12" customFormat="false" ht="30" hidden="false" customHeight="true" outlineLevel="0" collapsed="false">
      <c r="A12" s="9" t="s">
        <v>103</v>
      </c>
      <c r="B12" s="9" t="s">
        <v>39</v>
      </c>
      <c r="C12" s="9" t="s">
        <v>40</v>
      </c>
      <c r="D12" s="9" t="s">
        <v>41</v>
      </c>
      <c r="E12" s="9" t="n">
        <v>100</v>
      </c>
      <c r="F12" s="9" t="n">
        <v>4</v>
      </c>
      <c r="G12" s="9" t="n">
        <v>500</v>
      </c>
      <c r="H12" s="9" t="s">
        <v>104</v>
      </c>
      <c r="I12" s="9" t="s">
        <v>105</v>
      </c>
      <c r="J12" s="9" t="n">
        <v>900</v>
      </c>
      <c r="K12" s="9" t="n">
        <v>4023</v>
      </c>
      <c r="L12" s="9" t="n">
        <v>4022</v>
      </c>
      <c r="M12" s="9" t="n">
        <v>0</v>
      </c>
      <c r="N12" s="9" t="s">
        <v>44</v>
      </c>
      <c r="O12" s="9" t="s">
        <v>45</v>
      </c>
      <c r="P12" s="9" t="s">
        <v>46</v>
      </c>
      <c r="Q12" s="9" t="s">
        <v>47</v>
      </c>
      <c r="R12" s="9" t="s">
        <v>48</v>
      </c>
      <c r="S12" s="9" t="s">
        <v>97</v>
      </c>
      <c r="T12" s="9" t="n">
        <v>5</v>
      </c>
      <c r="U12" s="9" t="s">
        <v>98</v>
      </c>
      <c r="V12" s="9" t="s">
        <v>53</v>
      </c>
      <c r="W12" s="9" t="s">
        <v>106</v>
      </c>
      <c r="X12" s="9" t="s">
        <v>100</v>
      </c>
      <c r="Y12" s="9" t="s">
        <v>54</v>
      </c>
      <c r="Z12" s="9" t="s">
        <v>55</v>
      </c>
      <c r="AA12" s="9" t="n">
        <v>4</v>
      </c>
      <c r="AB12" s="9" t="n">
        <v>5</v>
      </c>
      <c r="AC12" s="9" t="s">
        <v>53</v>
      </c>
      <c r="AD12" s="9" t="s">
        <v>107</v>
      </c>
      <c r="AE12" s="9"/>
      <c r="AF12" s="9"/>
      <c r="AG12" s="10" t="n">
        <f aca="false">IFERROR(J12/E12,"")</f>
        <v>9</v>
      </c>
      <c r="AH12" s="11" t="n">
        <f aca="false">IFERROR(IF(AG12&gt;0,AB12/AG12,0),"")</f>
        <v>0.555555555555556</v>
      </c>
    </row>
    <row r="13" customFormat="false" ht="30" hidden="false" customHeight="true" outlineLevel="0" collapsed="false">
      <c r="A13" s="9" t="s">
        <v>108</v>
      </c>
      <c r="B13" s="9" t="s">
        <v>39</v>
      </c>
      <c r="C13" s="9" t="s">
        <v>40</v>
      </c>
      <c r="D13" s="9" t="s">
        <v>41</v>
      </c>
      <c r="E13" s="9" t="n">
        <v>100</v>
      </c>
      <c r="F13" s="9" t="n">
        <v>4</v>
      </c>
      <c r="G13" s="9" t="n">
        <v>500</v>
      </c>
      <c r="H13" s="9" t="s">
        <v>109</v>
      </c>
      <c r="I13" s="9" t="s">
        <v>110</v>
      </c>
      <c r="J13" s="9" t="n">
        <v>2000</v>
      </c>
      <c r="K13" s="9" t="n">
        <v>4020</v>
      </c>
      <c r="L13" s="9" t="n">
        <v>4018</v>
      </c>
      <c r="M13" s="9" t="n">
        <v>0</v>
      </c>
      <c r="N13" s="9" t="s">
        <v>44</v>
      </c>
      <c r="O13" s="9" t="s">
        <v>45</v>
      </c>
      <c r="P13" s="9" t="s">
        <v>46</v>
      </c>
      <c r="Q13" s="9" t="s">
        <v>47</v>
      </c>
      <c r="R13" s="9" t="s">
        <v>48</v>
      </c>
      <c r="S13" s="9" t="s">
        <v>49</v>
      </c>
      <c r="T13" s="9" t="n">
        <v>0</v>
      </c>
      <c r="U13" s="9" t="s">
        <v>50</v>
      </c>
      <c r="V13" s="9" t="s">
        <v>51</v>
      </c>
      <c r="W13" s="9" t="s">
        <v>52</v>
      </c>
      <c r="X13" s="9" t="s">
        <v>111</v>
      </c>
      <c r="Y13" s="9" t="s">
        <v>54</v>
      </c>
      <c r="Z13" s="9" t="s">
        <v>55</v>
      </c>
      <c r="AA13" s="9" t="n">
        <v>0</v>
      </c>
      <c r="AB13" s="9" t="n">
        <v>0</v>
      </c>
      <c r="AC13" s="9" t="s">
        <v>51</v>
      </c>
      <c r="AD13" s="9"/>
      <c r="AE13" s="9"/>
      <c r="AF13" s="9" t="s">
        <v>112</v>
      </c>
      <c r="AG13" s="10" t="n">
        <f aca="false">IFERROR(J13/E13,"")</f>
        <v>20</v>
      </c>
      <c r="AH13" s="11" t="n">
        <f aca="false">IFERROR(IF(AG13&gt;0,AB13/AG13,0),"")</f>
        <v>0</v>
      </c>
    </row>
    <row r="14" customFormat="false" ht="30" hidden="false" customHeight="true" outlineLevel="0" collapsed="false">
      <c r="A14" s="9" t="s">
        <v>113</v>
      </c>
      <c r="B14" s="9" t="s">
        <v>39</v>
      </c>
      <c r="C14" s="9" t="s">
        <v>40</v>
      </c>
      <c r="D14" s="9" t="s">
        <v>41</v>
      </c>
      <c r="E14" s="9" t="n">
        <v>100</v>
      </c>
      <c r="F14" s="9" t="n">
        <v>4</v>
      </c>
      <c r="G14" s="9" t="n">
        <v>500</v>
      </c>
      <c r="H14" s="9" t="s">
        <v>114</v>
      </c>
      <c r="I14" s="9" t="s">
        <v>115</v>
      </c>
      <c r="J14" s="9" t="n">
        <v>2000</v>
      </c>
      <c r="K14" s="9" t="n">
        <v>4017</v>
      </c>
      <c r="L14" s="9" t="n">
        <v>4015</v>
      </c>
      <c r="M14" s="9" t="n">
        <v>0</v>
      </c>
      <c r="N14" s="9" t="s">
        <v>44</v>
      </c>
      <c r="O14" s="9" t="s">
        <v>45</v>
      </c>
      <c r="P14" s="9" t="s">
        <v>46</v>
      </c>
      <c r="Q14" s="9" t="s">
        <v>47</v>
      </c>
      <c r="R14" s="9" t="s">
        <v>48</v>
      </c>
      <c r="S14" s="9" t="s">
        <v>49</v>
      </c>
      <c r="T14" s="9" t="n">
        <v>0</v>
      </c>
      <c r="U14" s="9" t="s">
        <v>50</v>
      </c>
      <c r="V14" s="9" t="s">
        <v>51</v>
      </c>
      <c r="W14" s="9" t="s">
        <v>52</v>
      </c>
      <c r="X14" s="9" t="s">
        <v>111</v>
      </c>
      <c r="Y14" s="9" t="s">
        <v>54</v>
      </c>
      <c r="Z14" s="9" t="s">
        <v>55</v>
      </c>
      <c r="AA14" s="9" t="n">
        <v>0</v>
      </c>
      <c r="AB14" s="9" t="n">
        <v>0</v>
      </c>
      <c r="AC14" s="9" t="s">
        <v>51</v>
      </c>
      <c r="AD14" s="9" t="s">
        <v>116</v>
      </c>
      <c r="AE14" s="9"/>
      <c r="AF14" s="9" t="s">
        <v>117</v>
      </c>
      <c r="AG14" s="10" t="n">
        <f aca="false">IFERROR(J14/E14,"")</f>
        <v>20</v>
      </c>
      <c r="AH14" s="11" t="n">
        <f aca="false">IFERROR(IF(AG14&gt;0,AB14/AG14,0),"")</f>
        <v>0</v>
      </c>
    </row>
    <row r="15" customFormat="false" ht="30" hidden="false" customHeight="true" outlineLevel="0" collapsed="false">
      <c r="A15" s="9" t="s">
        <v>118</v>
      </c>
      <c r="B15" s="9" t="s">
        <v>39</v>
      </c>
      <c r="C15" s="9" t="s">
        <v>40</v>
      </c>
      <c r="D15" s="9" t="s">
        <v>41</v>
      </c>
      <c r="E15" s="9" t="n">
        <v>100</v>
      </c>
      <c r="F15" s="9" t="n">
        <v>4</v>
      </c>
      <c r="G15" s="9" t="n">
        <v>500</v>
      </c>
      <c r="H15" s="9" t="s">
        <v>119</v>
      </c>
      <c r="I15" s="9" t="s">
        <v>120</v>
      </c>
      <c r="J15" s="9" t="n">
        <v>2600</v>
      </c>
      <c r="K15" s="9" t="n">
        <v>4014</v>
      </c>
      <c r="L15" s="9" t="n">
        <v>4012</v>
      </c>
      <c r="M15" s="9" t="n">
        <v>0</v>
      </c>
      <c r="N15" s="9" t="s">
        <v>44</v>
      </c>
      <c r="O15" s="9" t="s">
        <v>45</v>
      </c>
      <c r="P15" s="9" t="s">
        <v>46</v>
      </c>
      <c r="Q15" s="9" t="s">
        <v>47</v>
      </c>
      <c r="R15" s="9" t="s">
        <v>48</v>
      </c>
      <c r="S15" s="9" t="s">
        <v>121</v>
      </c>
      <c r="T15" s="9" t="n">
        <v>12</v>
      </c>
      <c r="U15" s="9" t="s">
        <v>74</v>
      </c>
      <c r="V15" s="9" t="s">
        <v>51</v>
      </c>
      <c r="W15" s="9" t="s">
        <v>122</v>
      </c>
      <c r="X15" s="9" t="s">
        <v>53</v>
      </c>
      <c r="Y15" s="9" t="s">
        <v>54</v>
      </c>
      <c r="Z15" s="9" t="s">
        <v>55</v>
      </c>
      <c r="AA15" s="9" t="n">
        <v>10</v>
      </c>
      <c r="AB15" s="9" t="n">
        <v>12</v>
      </c>
      <c r="AC15" s="9" t="s">
        <v>51</v>
      </c>
      <c r="AD15" s="9" t="s">
        <v>123</v>
      </c>
      <c r="AE15" s="9"/>
      <c r="AF15" s="9"/>
      <c r="AG15" s="10" t="n">
        <f aca="false">IFERROR(J15/E15,"")</f>
        <v>26</v>
      </c>
      <c r="AH15" s="11" t="n">
        <f aca="false">IFERROR(IF(AG15&gt;0,AB15/AG15,0),"")</f>
        <v>0.461538461538462</v>
      </c>
    </row>
    <row r="16" customFormat="false" ht="30" hidden="false" customHeight="true" outlineLevel="0" collapsed="false">
      <c r="A16" s="9" t="s">
        <v>124</v>
      </c>
      <c r="B16" s="9" t="s">
        <v>39</v>
      </c>
      <c r="C16" s="9" t="s">
        <v>40</v>
      </c>
      <c r="D16" s="9" t="s">
        <v>41</v>
      </c>
      <c r="E16" s="9" t="n">
        <v>100</v>
      </c>
      <c r="F16" s="9" t="n">
        <v>4</v>
      </c>
      <c r="G16" s="9" t="n">
        <v>500</v>
      </c>
      <c r="H16" s="9" t="s">
        <v>125</v>
      </c>
      <c r="I16" s="9" t="s">
        <v>126</v>
      </c>
      <c r="J16" s="9" t="n">
        <v>3000</v>
      </c>
      <c r="K16" s="9" t="n">
        <v>4011</v>
      </c>
      <c r="L16" s="9" t="n">
        <v>4008</v>
      </c>
      <c r="M16" s="9" t="n">
        <v>0</v>
      </c>
      <c r="N16" s="9" t="s">
        <v>44</v>
      </c>
      <c r="O16" s="9" t="s">
        <v>45</v>
      </c>
      <c r="P16" s="9" t="s">
        <v>46</v>
      </c>
      <c r="Q16" s="9" t="s">
        <v>47</v>
      </c>
      <c r="R16" s="9" t="s">
        <v>48</v>
      </c>
      <c r="S16" s="9" t="s">
        <v>49</v>
      </c>
      <c r="T16" s="9" t="n">
        <v>20</v>
      </c>
      <c r="U16" s="9" t="s">
        <v>50</v>
      </c>
      <c r="V16" s="9" t="s">
        <v>53</v>
      </c>
      <c r="W16" s="9" t="s">
        <v>52</v>
      </c>
      <c r="X16" s="9" t="s">
        <v>53</v>
      </c>
      <c r="Y16" s="9" t="s">
        <v>54</v>
      </c>
      <c r="Z16" s="9" t="s">
        <v>127</v>
      </c>
      <c r="AA16" s="9" t="n">
        <v>11</v>
      </c>
      <c r="AB16" s="9" t="n">
        <v>20</v>
      </c>
      <c r="AC16" s="9" t="s">
        <v>53</v>
      </c>
      <c r="AD16" s="9"/>
      <c r="AE16" s="9" t="s">
        <v>128</v>
      </c>
      <c r="AF16" s="9" t="s">
        <v>129</v>
      </c>
      <c r="AG16" s="10" t="n">
        <f aca="false">IFERROR(J16/E16,"")</f>
        <v>30</v>
      </c>
      <c r="AH16" s="11" t="n">
        <f aca="false">IFERROR(IF(AG16&gt;0,AB16/AG16,0),"")</f>
        <v>0.666666666666667</v>
      </c>
    </row>
    <row r="17" customFormat="false" ht="30" hidden="false" customHeight="true" outlineLevel="0" collapsed="false">
      <c r="A17" s="9" t="s">
        <v>130</v>
      </c>
      <c r="B17" s="9" t="s">
        <v>39</v>
      </c>
      <c r="C17" s="9" t="s">
        <v>40</v>
      </c>
      <c r="D17" s="9" t="s">
        <v>41</v>
      </c>
      <c r="E17" s="9" t="n">
        <v>100</v>
      </c>
      <c r="F17" s="9" t="n">
        <v>4</v>
      </c>
      <c r="G17" s="9" t="n">
        <v>500</v>
      </c>
      <c r="H17" s="9" t="s">
        <v>131</v>
      </c>
      <c r="I17" s="9" t="s">
        <v>132</v>
      </c>
      <c r="J17" s="9" t="n">
        <v>3000</v>
      </c>
      <c r="K17" s="9" t="n">
        <v>4008</v>
      </c>
      <c r="L17" s="9" t="n">
        <v>4005</v>
      </c>
      <c r="M17" s="9" t="n">
        <v>0</v>
      </c>
      <c r="N17" s="9" t="s">
        <v>44</v>
      </c>
      <c r="O17" s="9" t="s">
        <v>45</v>
      </c>
      <c r="P17" s="9" t="s">
        <v>46</v>
      </c>
      <c r="Q17" s="9" t="s">
        <v>47</v>
      </c>
      <c r="R17" s="9" t="s">
        <v>48</v>
      </c>
      <c r="S17" s="9" t="s">
        <v>133</v>
      </c>
      <c r="T17" s="9" t="n">
        <v>0</v>
      </c>
      <c r="U17" s="9" t="s">
        <v>134</v>
      </c>
      <c r="V17" s="9" t="s">
        <v>51</v>
      </c>
      <c r="W17" s="9" t="s">
        <v>52</v>
      </c>
      <c r="X17" s="9" t="s">
        <v>135</v>
      </c>
      <c r="Y17" s="9" t="s">
        <v>54</v>
      </c>
      <c r="Z17" s="9" t="s">
        <v>55</v>
      </c>
      <c r="AA17" s="9" t="n">
        <v>0</v>
      </c>
      <c r="AB17" s="9" t="n">
        <v>0</v>
      </c>
      <c r="AC17" s="9" t="s">
        <v>51</v>
      </c>
      <c r="AD17" s="9" t="s">
        <v>136</v>
      </c>
      <c r="AE17" s="9"/>
      <c r="AF17" s="9" t="s">
        <v>137</v>
      </c>
      <c r="AG17" s="10" t="n">
        <f aca="false">IFERROR(J17/E17,"")</f>
        <v>30</v>
      </c>
      <c r="AH17" s="11" t="n">
        <f aca="false">IFERROR(IF(AG17&gt;0,AB17/AG17,0),"")</f>
        <v>0</v>
      </c>
    </row>
  </sheetData>
  <mergeCells count="4">
    <mergeCell ref="A1:M1"/>
    <mergeCell ref="N1:Y1"/>
    <mergeCell ref="Z1:AF1"/>
    <mergeCell ref="AG1:A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27.75" hidden="false" customHeight="true" outlineLevel="0" collapsed="false">
      <c r="A1" s="12" t="s">
        <v>138</v>
      </c>
      <c r="B1" s="12" t="s">
        <v>139</v>
      </c>
      <c r="C1" s="12" t="s">
        <v>140</v>
      </c>
    </row>
    <row r="2" customFormat="false" ht="27.75" hidden="false" customHeight="true" outlineLevel="0" collapsed="false">
      <c r="A2" s="13" t="s">
        <v>4</v>
      </c>
      <c r="B2" s="13" t="s">
        <v>0</v>
      </c>
      <c r="C2" s="13" t="s">
        <v>141</v>
      </c>
    </row>
    <row r="3" customFormat="false" ht="27.75" hidden="false" customHeight="true" outlineLevel="0" collapsed="false">
      <c r="A3" s="13" t="s">
        <v>5</v>
      </c>
      <c r="B3" s="13" t="s">
        <v>0</v>
      </c>
      <c r="C3" s="13" t="s">
        <v>142</v>
      </c>
    </row>
    <row r="4" customFormat="false" ht="27.75" hidden="false" customHeight="true" outlineLevel="0" collapsed="false">
      <c r="A4" s="13" t="s">
        <v>6</v>
      </c>
      <c r="B4" s="13" t="s">
        <v>0</v>
      </c>
      <c r="C4" s="13" t="s">
        <v>143</v>
      </c>
    </row>
    <row r="5" customFormat="false" ht="27.75" hidden="false" customHeight="true" outlineLevel="0" collapsed="false">
      <c r="A5" s="13" t="s">
        <v>7</v>
      </c>
      <c r="B5" s="13" t="s">
        <v>0</v>
      </c>
      <c r="C5" s="13" t="s">
        <v>144</v>
      </c>
    </row>
    <row r="6" customFormat="false" ht="27.75" hidden="false" customHeight="true" outlineLevel="0" collapsed="false">
      <c r="A6" s="13" t="s">
        <v>8</v>
      </c>
      <c r="B6" s="13" t="s">
        <v>0</v>
      </c>
      <c r="C6" s="13" t="s">
        <v>145</v>
      </c>
    </row>
    <row r="7" customFormat="false" ht="27.75" hidden="false" customHeight="true" outlineLevel="0" collapsed="false">
      <c r="A7" s="13" t="s">
        <v>9</v>
      </c>
      <c r="B7" s="13" t="s">
        <v>0</v>
      </c>
      <c r="C7" s="13" t="s">
        <v>146</v>
      </c>
    </row>
    <row r="8" customFormat="false" ht="27.75" hidden="false" customHeight="true" outlineLevel="0" collapsed="false">
      <c r="A8" s="13" t="s">
        <v>10</v>
      </c>
      <c r="B8" s="13" t="s">
        <v>0</v>
      </c>
      <c r="C8" s="13" t="s">
        <v>147</v>
      </c>
    </row>
    <row r="9" customFormat="false" ht="27.75" hidden="false" customHeight="true" outlineLevel="0" collapsed="false">
      <c r="A9" s="13" t="s">
        <v>11</v>
      </c>
      <c r="B9" s="13" t="s">
        <v>0</v>
      </c>
      <c r="C9" s="13" t="s">
        <v>148</v>
      </c>
    </row>
    <row r="10" customFormat="false" ht="27.75" hidden="false" customHeight="true" outlineLevel="0" collapsed="false">
      <c r="A10" s="13" t="s">
        <v>12</v>
      </c>
      <c r="B10" s="13" t="s">
        <v>0</v>
      </c>
      <c r="C10" s="13" t="s">
        <v>149</v>
      </c>
    </row>
    <row r="11" customFormat="false" ht="27.75" hidden="false" customHeight="true" outlineLevel="0" collapsed="false">
      <c r="A11" s="13" t="s">
        <v>13</v>
      </c>
      <c r="B11" s="13" t="s">
        <v>0</v>
      </c>
      <c r="C11" s="13" t="s">
        <v>150</v>
      </c>
    </row>
    <row r="12" customFormat="false" ht="27.75" hidden="false" customHeight="true" outlineLevel="0" collapsed="false">
      <c r="A12" s="13" t="s">
        <v>14</v>
      </c>
      <c r="B12" s="13" t="s">
        <v>0</v>
      </c>
      <c r="C12" s="13" t="s">
        <v>151</v>
      </c>
    </row>
    <row r="13" customFormat="false" ht="27.75" hidden="false" customHeight="true" outlineLevel="0" collapsed="false">
      <c r="A13" s="13" t="s">
        <v>15</v>
      </c>
      <c r="B13" s="13" t="s">
        <v>0</v>
      </c>
      <c r="C13" s="13" t="s">
        <v>152</v>
      </c>
    </row>
    <row r="14" customFormat="false" ht="27.75" hidden="false" customHeight="true" outlineLevel="0" collapsed="false">
      <c r="A14" s="13" t="s">
        <v>16</v>
      </c>
      <c r="B14" s="13" t="s">
        <v>0</v>
      </c>
      <c r="C14" s="13" t="s">
        <v>153</v>
      </c>
    </row>
    <row r="15" customFormat="false" ht="27.75" hidden="false" customHeight="true" outlineLevel="0" collapsed="false">
      <c r="A15" s="14" t="s">
        <v>17</v>
      </c>
      <c r="B15" s="14" t="s">
        <v>1</v>
      </c>
      <c r="C15" s="14" t="s">
        <v>154</v>
      </c>
    </row>
    <row r="16" customFormat="false" ht="27.75" hidden="false" customHeight="true" outlineLevel="0" collapsed="false">
      <c r="A16" s="14" t="s">
        <v>18</v>
      </c>
      <c r="B16" s="14" t="s">
        <v>1</v>
      </c>
      <c r="C16" s="14" t="s">
        <v>155</v>
      </c>
    </row>
    <row r="17" customFormat="false" ht="27.75" hidden="false" customHeight="true" outlineLevel="0" collapsed="false">
      <c r="A17" s="14" t="s">
        <v>19</v>
      </c>
      <c r="B17" s="14" t="s">
        <v>1</v>
      </c>
      <c r="C17" s="14" t="s">
        <v>156</v>
      </c>
    </row>
    <row r="18" customFormat="false" ht="27.75" hidden="false" customHeight="true" outlineLevel="0" collapsed="false">
      <c r="A18" s="14" t="s">
        <v>20</v>
      </c>
      <c r="B18" s="14" t="s">
        <v>1</v>
      </c>
      <c r="C18" s="14" t="s">
        <v>157</v>
      </c>
    </row>
    <row r="19" customFormat="false" ht="27.75" hidden="false" customHeight="true" outlineLevel="0" collapsed="false">
      <c r="A19" s="14" t="s">
        <v>21</v>
      </c>
      <c r="B19" s="14" t="s">
        <v>1</v>
      </c>
      <c r="C19" s="14" t="s">
        <v>158</v>
      </c>
    </row>
    <row r="20" customFormat="false" ht="27.75" hidden="false" customHeight="true" outlineLevel="0" collapsed="false">
      <c r="A20" s="14" t="s">
        <v>22</v>
      </c>
      <c r="B20" s="14" t="s">
        <v>1</v>
      </c>
      <c r="C20" s="14" t="s">
        <v>159</v>
      </c>
    </row>
    <row r="21" customFormat="false" ht="27.75" hidden="false" customHeight="true" outlineLevel="0" collapsed="false">
      <c r="A21" s="14" t="s">
        <v>23</v>
      </c>
      <c r="B21" s="14" t="s">
        <v>1</v>
      </c>
      <c r="C21" s="14" t="s">
        <v>160</v>
      </c>
    </row>
    <row r="22" customFormat="false" ht="27.75" hidden="false" customHeight="true" outlineLevel="0" collapsed="false">
      <c r="A22" s="14" t="s">
        <v>24</v>
      </c>
      <c r="B22" s="14" t="s">
        <v>1</v>
      </c>
      <c r="C22" s="14" t="s">
        <v>161</v>
      </c>
    </row>
    <row r="23" customFormat="false" ht="27.75" hidden="false" customHeight="true" outlineLevel="0" collapsed="false">
      <c r="A23" s="14" t="s">
        <v>25</v>
      </c>
      <c r="B23" s="14" t="s">
        <v>1</v>
      </c>
      <c r="C23" s="14" t="s">
        <v>162</v>
      </c>
    </row>
    <row r="24" customFormat="false" ht="27.75" hidden="false" customHeight="true" outlineLevel="0" collapsed="false">
      <c r="A24" s="14" t="s">
        <v>26</v>
      </c>
      <c r="B24" s="14" t="s">
        <v>1</v>
      </c>
      <c r="C24" s="14" t="s">
        <v>163</v>
      </c>
    </row>
    <row r="25" customFormat="false" ht="27.75" hidden="false" customHeight="true" outlineLevel="0" collapsed="false">
      <c r="A25" s="14" t="s">
        <v>27</v>
      </c>
      <c r="B25" s="14" t="s">
        <v>1</v>
      </c>
      <c r="C25" s="14" t="s">
        <v>164</v>
      </c>
    </row>
    <row r="26" customFormat="false" ht="27.75" hidden="false" customHeight="true" outlineLevel="0" collapsed="false">
      <c r="A26" s="14" t="s">
        <v>28</v>
      </c>
      <c r="B26" s="14" t="s">
        <v>1</v>
      </c>
      <c r="C26" s="14" t="s">
        <v>165</v>
      </c>
    </row>
    <row r="27" customFormat="false" ht="27.75" hidden="false" customHeight="true" outlineLevel="0" collapsed="false">
      <c r="A27" s="15" t="s">
        <v>29</v>
      </c>
      <c r="B27" s="15" t="s">
        <v>2</v>
      </c>
      <c r="C27" s="15" t="s">
        <v>166</v>
      </c>
    </row>
    <row r="28" customFormat="false" ht="27.75" hidden="false" customHeight="true" outlineLevel="0" collapsed="false">
      <c r="A28" s="15" t="s">
        <v>30</v>
      </c>
      <c r="B28" s="15" t="s">
        <v>2</v>
      </c>
      <c r="C28" s="15" t="s">
        <v>167</v>
      </c>
    </row>
    <row r="29" customFormat="false" ht="27.75" hidden="false" customHeight="true" outlineLevel="0" collapsed="false">
      <c r="A29" s="15" t="s">
        <v>31</v>
      </c>
      <c r="B29" s="15" t="s">
        <v>2</v>
      </c>
      <c r="C29" s="15" t="s">
        <v>168</v>
      </c>
    </row>
    <row r="30" customFormat="false" ht="27.75" hidden="false" customHeight="true" outlineLevel="0" collapsed="false">
      <c r="A30" s="15" t="s">
        <v>32</v>
      </c>
      <c r="B30" s="15" t="s">
        <v>2</v>
      </c>
      <c r="C30" s="15" t="s">
        <v>169</v>
      </c>
    </row>
    <row r="31" customFormat="false" ht="27.75" hidden="false" customHeight="true" outlineLevel="0" collapsed="false">
      <c r="A31" s="15" t="s">
        <v>33</v>
      </c>
      <c r="B31" s="15" t="s">
        <v>2</v>
      </c>
      <c r="C31" s="15" t="s">
        <v>170</v>
      </c>
    </row>
    <row r="32" customFormat="false" ht="27.75" hidden="false" customHeight="true" outlineLevel="0" collapsed="false">
      <c r="A32" s="15" t="s">
        <v>34</v>
      </c>
      <c r="B32" s="15" t="s">
        <v>2</v>
      </c>
      <c r="C32" s="15" t="s">
        <v>171</v>
      </c>
    </row>
    <row r="33" customFormat="false" ht="27.75" hidden="false" customHeight="true" outlineLevel="0" collapsed="false">
      <c r="A33" s="15" t="s">
        <v>35</v>
      </c>
      <c r="B33" s="15" t="s">
        <v>2</v>
      </c>
      <c r="C33" s="15" t="s">
        <v>172</v>
      </c>
    </row>
    <row r="34" customFormat="false" ht="27.75" hidden="false" customHeight="true" outlineLevel="0" collapsed="false">
      <c r="A34" s="16" t="s">
        <v>36</v>
      </c>
      <c r="B34" s="16" t="s">
        <v>3</v>
      </c>
      <c r="C34" s="16" t="s">
        <v>173</v>
      </c>
    </row>
    <row r="35" customFormat="false" ht="27.75" hidden="false" customHeight="true" outlineLevel="0" collapsed="false">
      <c r="A35" s="16" t="s">
        <v>37</v>
      </c>
      <c r="B35" s="16" t="s">
        <v>3</v>
      </c>
      <c r="C35" s="16" t="s">
        <v>174</v>
      </c>
    </row>
    <row r="37" customFormat="false" ht="15" hidden="false" customHeight="false" outlineLevel="0" collapsed="false">
      <c r="A37" s="17" t="s">
        <v>175</v>
      </c>
    </row>
    <row r="38" customFormat="false" ht="15" hidden="false" customHeight="false" outlineLevel="0" collapsed="false">
      <c r="A38" s="18" t="s">
        <v>0</v>
      </c>
      <c r="C38" s="19" t="s">
        <v>176</v>
      </c>
    </row>
    <row r="39" customFormat="false" ht="15" hidden="false" customHeight="false" outlineLevel="0" collapsed="false">
      <c r="A39" s="20" t="s">
        <v>1</v>
      </c>
      <c r="C39" s="19" t="s">
        <v>177</v>
      </c>
    </row>
    <row r="40" customFormat="false" ht="15" hidden="false" customHeight="false" outlineLevel="0" collapsed="false">
      <c r="A40" s="21" t="s">
        <v>2</v>
      </c>
      <c r="C40" s="19" t="s">
        <v>178</v>
      </c>
    </row>
    <row r="41" customFormat="false" ht="15" hidden="false" customHeight="false" outlineLevel="0" collapsed="false">
      <c r="A41" s="22" t="s">
        <v>3</v>
      </c>
      <c r="C41" s="19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22"/>
  </cols>
  <sheetData>
    <row r="1" customFormat="false" ht="15" hidden="false" customHeight="false" outlineLevel="0" collapsed="false">
      <c r="A1" s="23" t="s">
        <v>18</v>
      </c>
      <c r="B1" s="23" t="s">
        <v>19</v>
      </c>
      <c r="C1" s="23" t="s">
        <v>24</v>
      </c>
      <c r="D1" s="23" t="s">
        <v>25</v>
      </c>
      <c r="E1" s="23" t="s">
        <v>26</v>
      </c>
      <c r="F1" s="23" t="s">
        <v>27</v>
      </c>
      <c r="G1" s="23" t="s">
        <v>21</v>
      </c>
      <c r="H1" s="23" t="s">
        <v>29</v>
      </c>
      <c r="I1" s="23" t="s">
        <v>34</v>
      </c>
    </row>
    <row r="2" customFormat="false" ht="15" hidden="false" customHeight="false" outlineLevel="0" collapsed="false">
      <c r="A2" s="24" t="s">
        <v>45</v>
      </c>
      <c r="B2" s="24" t="s">
        <v>46</v>
      </c>
      <c r="C2" s="24" t="s">
        <v>180</v>
      </c>
      <c r="D2" s="24" t="s">
        <v>51</v>
      </c>
      <c r="E2" s="24" t="s">
        <v>52</v>
      </c>
      <c r="F2" s="24" t="s">
        <v>53</v>
      </c>
      <c r="G2" s="24" t="s">
        <v>48</v>
      </c>
      <c r="H2" s="24" t="s">
        <v>55</v>
      </c>
      <c r="I2" s="24" t="s">
        <v>128</v>
      </c>
    </row>
    <row r="3" customFormat="false" ht="15" hidden="false" customHeight="false" outlineLevel="0" collapsed="false">
      <c r="A3" s="24" t="s">
        <v>181</v>
      </c>
      <c r="B3" s="24" t="s">
        <v>182</v>
      </c>
      <c r="C3" s="24" t="s">
        <v>74</v>
      </c>
      <c r="D3" s="24" t="s">
        <v>53</v>
      </c>
      <c r="E3" s="24" t="s">
        <v>106</v>
      </c>
      <c r="F3" s="24" t="s">
        <v>85</v>
      </c>
      <c r="G3" s="24" t="s">
        <v>183</v>
      </c>
      <c r="H3" s="24" t="s">
        <v>127</v>
      </c>
      <c r="I3" s="24" t="s">
        <v>184</v>
      </c>
    </row>
    <row r="4" customFormat="false" ht="15" hidden="false" customHeight="false" outlineLevel="0" collapsed="false">
      <c r="C4" s="24" t="s">
        <v>185</v>
      </c>
      <c r="D4" s="24" t="s">
        <v>64</v>
      </c>
      <c r="E4" s="24" t="s">
        <v>122</v>
      </c>
      <c r="F4" s="24" t="s">
        <v>91</v>
      </c>
      <c r="G4" s="24" t="s">
        <v>186</v>
      </c>
      <c r="I4" s="24" t="s">
        <v>187</v>
      </c>
    </row>
    <row r="5" customFormat="false" ht="15" hidden="false" customHeight="false" outlineLevel="0" collapsed="false">
      <c r="C5" s="24" t="s">
        <v>50</v>
      </c>
      <c r="E5" s="24" t="s">
        <v>75</v>
      </c>
      <c r="F5" s="24" t="s">
        <v>188</v>
      </c>
      <c r="G5" s="24" t="s">
        <v>189</v>
      </c>
      <c r="I5" s="24" t="s">
        <v>190</v>
      </c>
    </row>
    <row r="6" customFormat="false" ht="15" hidden="false" customHeight="false" outlineLevel="0" collapsed="false">
      <c r="C6" s="24" t="s">
        <v>98</v>
      </c>
      <c r="E6" s="24" t="s">
        <v>99</v>
      </c>
      <c r="F6" s="24" t="s">
        <v>111</v>
      </c>
      <c r="G6" s="24" t="s">
        <v>191</v>
      </c>
      <c r="I6" s="24" t="s">
        <v>192</v>
      </c>
    </row>
    <row r="7" customFormat="false" ht="15" hidden="false" customHeight="false" outlineLevel="0" collapsed="false">
      <c r="C7" s="24" t="s">
        <v>193</v>
      </c>
      <c r="F7" s="24" t="s">
        <v>135</v>
      </c>
      <c r="I7" s="24" t="s">
        <v>194</v>
      </c>
    </row>
    <row r="8" customFormat="false" ht="15" hidden="false" customHeight="false" outlineLevel="0" collapsed="false">
      <c r="C8" s="24" t="s">
        <v>195</v>
      </c>
      <c r="F8" s="24" t="s">
        <v>196</v>
      </c>
    </row>
    <row r="9" customFormat="false" ht="15" hidden="false" customHeight="false" outlineLevel="0" collapsed="false">
      <c r="C9" s="24" t="s">
        <v>134</v>
      </c>
      <c r="F9" s="24" t="s">
        <v>100</v>
      </c>
    </row>
    <row r="10" customFormat="false" ht="15" hidden="false" customHeight="false" outlineLevel="0" collapsed="false">
      <c r="C10" s="24" t="s">
        <v>197</v>
      </c>
      <c r="F10" s="24" t="s">
        <v>198</v>
      </c>
    </row>
    <row r="11" customFormat="false" ht="15" hidden="false" customHeight="false" outlineLevel="0" collapsed="false">
      <c r="F11" s="24" t="s">
        <v>199</v>
      </c>
    </row>
    <row r="12" customFormat="false" ht="15" hidden="false" customHeight="false" outlineLevel="0" collapsed="false">
      <c r="F12" s="24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2026-04-09T03:09:38Z</dcterms:created>
  <dc:creator>openpyxl</dc:creator>
  <dc:description/>
  <dc:language>en-US</dc:language>
  <cp:lastModifiedBy/>
  <dcterms:modified xsi:type="dcterms:W3CDTF">2026-04-09T03:09:38Z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